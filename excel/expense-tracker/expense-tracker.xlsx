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232" documentId="11_E60897F41BE170836B02CE998F75CCDC64E183C8" xr6:coauthVersionLast="47" xr6:coauthVersionMax="47" xr10:uidLastSave="{4BDB14A3-097A-4465-866A-8B9A80B9AEAE}"/>
  <bookViews>
    <workbookView xWindow="240" yWindow="105" windowWidth="14805" windowHeight="8010" xr2:uid="{00000000-000D-0000-FFFF-FFFF00000000}"/>
  </bookViews>
  <sheets>
    <sheet name="09-AU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H3" i="1"/>
  <c r="H4" i="1"/>
  <c r="H5" i="1"/>
  <c r="H6" i="1"/>
  <c r="H7" i="1"/>
  <c r="H8" i="1"/>
  <c r="H9" i="1"/>
  <c r="H10" i="1"/>
  <c r="G3" i="1"/>
  <c r="G4" i="1"/>
  <c r="G5" i="1"/>
  <c r="G6" i="1"/>
  <c r="G7" i="1"/>
  <c r="G8" i="1"/>
  <c r="G9" i="1"/>
  <c r="G10" i="1"/>
  <c r="I2" i="1"/>
  <c r="M18" i="1" s="1"/>
  <c r="H2" i="1"/>
  <c r="G2" i="1"/>
  <c r="F2" i="1"/>
  <c r="F3" i="1"/>
  <c r="F4" i="1"/>
  <c r="F5" i="1"/>
  <c r="F6" i="1"/>
  <c r="F7" i="1"/>
  <c r="F8" i="1"/>
  <c r="F9" i="1"/>
  <c r="F10" i="1"/>
  <c r="E3" i="1"/>
  <c r="E4" i="1"/>
  <c r="E5" i="1"/>
  <c r="E6" i="1"/>
  <c r="E7" i="1"/>
  <c r="E8" i="1"/>
  <c r="E9" i="1"/>
  <c r="E10" i="1"/>
  <c r="E2" i="1"/>
  <c r="M14" i="1" s="1"/>
  <c r="M13" i="1"/>
  <c r="M12" i="1"/>
  <c r="M15" i="1" l="1"/>
  <c r="M16" i="1"/>
  <c r="M17" i="1"/>
</calcChain>
</file>

<file path=xl/sharedStrings.xml><?xml version="1.0" encoding="utf-8"?>
<sst xmlns="http://schemas.openxmlformats.org/spreadsheetml/2006/main" count="35" uniqueCount="26">
  <si>
    <t>Date</t>
  </si>
  <si>
    <t>Item</t>
  </si>
  <si>
    <t>Category</t>
  </si>
  <si>
    <t>Amount(₹ )</t>
  </si>
  <si>
    <t>Food</t>
  </si>
  <si>
    <t>Stationery</t>
  </si>
  <si>
    <t>Groceries</t>
  </si>
  <si>
    <t>Transport</t>
  </si>
  <si>
    <t>Bills</t>
  </si>
  <si>
    <t>Breakfast (poha)</t>
  </si>
  <si>
    <t>Auto fare</t>
  </si>
  <si>
    <t>Mobile recharge</t>
  </si>
  <si>
    <t>Lunch</t>
  </si>
  <si>
    <t>coffee</t>
  </si>
  <si>
    <t>Notebook</t>
  </si>
  <si>
    <t>Groceries (milk, bread)</t>
  </si>
  <si>
    <t>Evening snacks</t>
  </si>
  <si>
    <t>Bus fare (return)</t>
  </si>
  <si>
    <t>Summary of:</t>
  </si>
  <si>
    <t>Total:</t>
  </si>
  <si>
    <t>Average transaction value in (₹):</t>
  </si>
  <si>
    <t>Food expenses</t>
  </si>
  <si>
    <t>Stationery expenses:</t>
  </si>
  <si>
    <t>Groceries expenses:</t>
  </si>
  <si>
    <t>Transport expenses:</t>
  </si>
  <si>
    <t>Bills expenses: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</si>
</sst>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4" fontId="0" fillId="0" borderId="5" xfId="0" applyNumberFormat="1" applyFill="1" applyBorder="1"/>
    <xf numFmtId="0" fontId="0" fillId="0" borderId="1" xfId="0" applyFill="1" applyBorder="1"/>
    <xf numFmtId="0" fontId="0" fillId="0" borderId="6" xfId="0" applyFill="1" applyBorder="1"/>
    <xf numFmtId="164" fontId="0" fillId="0" borderId="7" xfId="0" applyNumberFormat="1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pane ySplit="1" topLeftCell="A2" activePane="bottomLeft" state="frozen"/>
      <selection pane="bottomLeft" activeCell="G17" sqref="G17"/>
    </sheetView>
  </sheetViews>
  <sheetFormatPr defaultRowHeight="15"/>
  <cols>
    <col min="1" max="4" width="20.42578125" customWidth="1"/>
    <col min="5" max="11" width="11" customWidth="1"/>
    <col min="12" max="15" width="18.28515625" customWidth="1"/>
  </cols>
  <sheetData>
    <row r="1" spans="1:1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</row>
    <row r="2" spans="1:13">
      <c r="A2" s="2">
        <v>46243</v>
      </c>
      <c r="B2" s="3" t="s">
        <v>9</v>
      </c>
      <c r="C2" s="3" t="s">
        <v>4</v>
      </c>
      <c r="D2" s="3">
        <v>40</v>
      </c>
      <c r="E2" s="3">
        <f>COUNTIF(C2, "Food")*D2</f>
        <v>40</v>
      </c>
      <c r="F2" s="3">
        <f>COUNTIF(C2, "Stationery")*D2</f>
        <v>0</v>
      </c>
      <c r="G2" s="3">
        <f>COUNTIF(C2, "groceries")*D2</f>
        <v>0</v>
      </c>
      <c r="H2" s="3">
        <f>COUNTIF(C2, "Transport")*D2</f>
        <v>0</v>
      </c>
      <c r="I2" s="4">
        <f>COUNTIF(C2, "Bills")*D2</f>
        <v>0</v>
      </c>
    </row>
    <row r="3" spans="1:13">
      <c r="A3" s="2">
        <v>46243</v>
      </c>
      <c r="B3" s="3" t="s">
        <v>10</v>
      </c>
      <c r="C3" s="3" t="s">
        <v>7</v>
      </c>
      <c r="D3" s="3">
        <v>60</v>
      </c>
      <c r="E3" s="3">
        <f t="shared" ref="E3:E10" si="0">COUNTIF(C3, "Food")*D3</f>
        <v>0</v>
      </c>
      <c r="F3" s="3">
        <f t="shared" ref="F3:F10" si="1">COUNTIF(C3, "Stationery")*D3</f>
        <v>0</v>
      </c>
      <c r="G3" s="3">
        <f t="shared" ref="G3:G10" si="2">COUNTIF(C3, "groceries")*D3</f>
        <v>0</v>
      </c>
      <c r="H3" s="3">
        <f t="shared" ref="H3:H10" si="3">COUNTIF(C3, "Transport")*D3</f>
        <v>60</v>
      </c>
      <c r="I3" s="4">
        <f t="shared" ref="I3:I10" si="4">COUNTIF(C3, "Bills")*D3</f>
        <v>0</v>
      </c>
    </row>
    <row r="4" spans="1:13">
      <c r="A4" s="2">
        <v>46243</v>
      </c>
      <c r="B4" s="3" t="s">
        <v>11</v>
      </c>
      <c r="C4" s="3" t="s">
        <v>8</v>
      </c>
      <c r="D4" s="3">
        <v>199</v>
      </c>
      <c r="E4" s="3">
        <f t="shared" si="0"/>
        <v>0</v>
      </c>
      <c r="F4" s="3">
        <f t="shared" si="1"/>
        <v>0</v>
      </c>
      <c r="G4" s="3">
        <f t="shared" si="2"/>
        <v>0</v>
      </c>
      <c r="H4" s="3">
        <f t="shared" si="3"/>
        <v>0</v>
      </c>
      <c r="I4" s="4">
        <f t="shared" si="4"/>
        <v>199</v>
      </c>
    </row>
    <row r="5" spans="1:13">
      <c r="A5" s="2">
        <v>46243</v>
      </c>
      <c r="B5" s="3" t="s">
        <v>12</v>
      </c>
      <c r="C5" s="3" t="s">
        <v>4</v>
      </c>
      <c r="D5" s="3">
        <v>120</v>
      </c>
      <c r="E5" s="3">
        <f t="shared" si="0"/>
        <v>120</v>
      </c>
      <c r="F5" s="3">
        <f t="shared" si="1"/>
        <v>0</v>
      </c>
      <c r="G5" s="3">
        <f t="shared" si="2"/>
        <v>0</v>
      </c>
      <c r="H5" s="3">
        <f t="shared" si="3"/>
        <v>0</v>
      </c>
      <c r="I5" s="4">
        <f t="shared" si="4"/>
        <v>0</v>
      </c>
    </row>
    <row r="6" spans="1:13">
      <c r="A6" s="2">
        <v>46243</v>
      </c>
      <c r="B6" s="3" t="s">
        <v>13</v>
      </c>
      <c r="C6" s="3" t="s">
        <v>4</v>
      </c>
      <c r="D6" s="3">
        <v>20</v>
      </c>
      <c r="E6" s="3">
        <f t="shared" si="0"/>
        <v>20</v>
      </c>
      <c r="F6" s="3">
        <f t="shared" si="1"/>
        <v>0</v>
      </c>
      <c r="G6" s="3">
        <f t="shared" si="2"/>
        <v>0</v>
      </c>
      <c r="H6" s="3">
        <f t="shared" si="3"/>
        <v>0</v>
      </c>
      <c r="I6" s="4">
        <f t="shared" si="4"/>
        <v>0</v>
      </c>
    </row>
    <row r="7" spans="1:13">
      <c r="A7" s="2">
        <v>46243</v>
      </c>
      <c r="B7" s="3" t="s">
        <v>14</v>
      </c>
      <c r="C7" s="3" t="s">
        <v>5</v>
      </c>
      <c r="D7" s="3">
        <v>50</v>
      </c>
      <c r="E7" s="3">
        <f t="shared" si="0"/>
        <v>0</v>
      </c>
      <c r="F7" s="3">
        <f t="shared" si="1"/>
        <v>50</v>
      </c>
      <c r="G7" s="3">
        <f t="shared" si="2"/>
        <v>0</v>
      </c>
      <c r="H7" s="3">
        <f t="shared" si="3"/>
        <v>0</v>
      </c>
      <c r="I7" s="4">
        <f t="shared" si="4"/>
        <v>0</v>
      </c>
    </row>
    <row r="8" spans="1:13">
      <c r="A8" s="2">
        <v>46243</v>
      </c>
      <c r="B8" s="3" t="s">
        <v>15</v>
      </c>
      <c r="C8" s="3" t="s">
        <v>6</v>
      </c>
      <c r="D8" s="3">
        <v>85</v>
      </c>
      <c r="E8" s="3">
        <f t="shared" si="0"/>
        <v>0</v>
      </c>
      <c r="F8" s="3">
        <f t="shared" si="1"/>
        <v>0</v>
      </c>
      <c r="G8" s="3">
        <f t="shared" si="2"/>
        <v>85</v>
      </c>
      <c r="H8" s="3">
        <f t="shared" si="3"/>
        <v>0</v>
      </c>
      <c r="I8" s="4">
        <f t="shared" si="4"/>
        <v>0</v>
      </c>
    </row>
    <row r="9" spans="1:13">
      <c r="A9" s="2">
        <v>46243</v>
      </c>
      <c r="B9" s="3" t="s">
        <v>16</v>
      </c>
      <c r="C9" s="3" t="s">
        <v>4</v>
      </c>
      <c r="D9" s="3">
        <v>35</v>
      </c>
      <c r="E9" s="3">
        <f t="shared" si="0"/>
        <v>35</v>
      </c>
      <c r="F9" s="3">
        <f t="shared" si="1"/>
        <v>0</v>
      </c>
      <c r="G9" s="3">
        <f t="shared" si="2"/>
        <v>0</v>
      </c>
      <c r="H9" s="3">
        <f t="shared" si="3"/>
        <v>0</v>
      </c>
      <c r="I9" s="4">
        <f t="shared" si="4"/>
        <v>0</v>
      </c>
    </row>
    <row r="10" spans="1:13">
      <c r="A10" s="5">
        <v>46243</v>
      </c>
      <c r="B10" s="6" t="s">
        <v>17</v>
      </c>
      <c r="C10" s="6" t="s">
        <v>7</v>
      </c>
      <c r="D10" s="6">
        <v>30</v>
      </c>
      <c r="E10" s="6">
        <f t="shared" si="0"/>
        <v>0</v>
      </c>
      <c r="F10" s="6">
        <f t="shared" si="1"/>
        <v>0</v>
      </c>
      <c r="G10" s="6">
        <f t="shared" si="2"/>
        <v>0</v>
      </c>
      <c r="H10" s="6">
        <f t="shared" si="3"/>
        <v>30</v>
      </c>
      <c r="I10" s="7">
        <f t="shared" si="4"/>
        <v>0</v>
      </c>
    </row>
    <row r="11" spans="1:13">
      <c r="A11" s="1"/>
      <c r="L11" s="13" t="s">
        <v>18</v>
      </c>
      <c r="M11" s="14">
        <v>46243</v>
      </c>
    </row>
    <row r="12" spans="1:13">
      <c r="A12" s="1"/>
      <c r="L12" s="3" t="s">
        <v>19</v>
      </c>
      <c r="M12" s="3">
        <f>SUM(D2:D10)</f>
        <v>639</v>
      </c>
    </row>
    <row r="13" spans="1:13" ht="30.75">
      <c r="A13" s="1"/>
      <c r="L13" s="8" t="s">
        <v>20</v>
      </c>
      <c r="M13" s="9">
        <f>AVERAGE(D2:D10)</f>
        <v>71</v>
      </c>
    </row>
    <row r="14" spans="1:13">
      <c r="A14" s="1"/>
      <c r="L14" s="3" t="s">
        <v>21</v>
      </c>
      <c r="M14" s="3">
        <f>SUM(E2:E10)</f>
        <v>215</v>
      </c>
    </row>
    <row r="15" spans="1:13">
      <c r="L15" s="3" t="s">
        <v>22</v>
      </c>
      <c r="M15" s="3">
        <f>SUM(F2:F10)</f>
        <v>50</v>
      </c>
    </row>
    <row r="16" spans="1:13">
      <c r="L16" s="3" t="s">
        <v>23</v>
      </c>
      <c r="M16" s="3">
        <f>SUM(G3:G10)</f>
        <v>85</v>
      </c>
    </row>
    <row r="17" spans="12:13">
      <c r="L17" s="3" t="s">
        <v>24</v>
      </c>
      <c r="M17" s="3">
        <f>SUM(H4:H10)</f>
        <v>30</v>
      </c>
    </row>
    <row r="18" spans="12:13">
      <c r="L18" s="3" t="s">
        <v>25</v>
      </c>
      <c r="M18" s="3">
        <f>SUM(I2:I10)</f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mohit rajpal</cp:lastModifiedBy>
  <cp:revision/>
  <dcterms:created xsi:type="dcterms:W3CDTF">2026-08-09T06:04:11Z</dcterms:created>
  <dcterms:modified xsi:type="dcterms:W3CDTF">2026-08-09T07:07:34Z</dcterms:modified>
  <cp:category/>
  <cp:contentStatus/>
</cp:coreProperties>
</file>